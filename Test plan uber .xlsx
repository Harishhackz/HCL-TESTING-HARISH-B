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pkart Testing" sheetId="1" r:id="rId5"/>
    <sheet state="visible" name="Test Plan Templat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3">
      <text>
        <t xml:space="preserve">Test Case ID: Unique identifier for each test case (e.g., TC001, TC002) used for tracking and bug logging.</t>
      </text>
    </comment>
    <comment authorId="0" ref="B13">
      <text>
        <t xml:space="preserve">Module: Functional feature or area being validated (e.g., Login, Search, Product, Cart, Wishlist, Checkout).</t>
      </text>
    </comment>
    <comment authorId="0" ref="C13">
      <text>
        <t xml:space="preserve">Test Scenario: High-level description of the specific functionality or user behavior under test.</t>
      </text>
    </comment>
    <comment authorId="0" ref="D13">
      <text>
        <t xml:space="preserve">Test Steps: Step-by-step user actions executed sequentially in the browser.</t>
      </text>
    </comment>
    <comment authorId="0" ref="E13">
      <text>
        <t xml:space="preserve">Test Data: Input values, credentials, or parameters used during the test execution (valid and invalid).</t>
      </text>
    </comment>
    <comment authorId="0" ref="F13">
      <text>
        <t xml:space="preserve">Expected Result: Intended and correct system behavior specified by product requirements.</t>
      </text>
    </comment>
    <comment authorId="0" ref="G13">
      <text>
        <t xml:space="preserve">Actual Result: Real observed behavior during testing. Choose 'Done as expected' (Pass), 'Issue observed' (Fail), or 'Pending'.</t>
      </text>
    </comment>
    <comment authorId="0" ref="H13">
      <text>
        <t xml:space="preserve">Status: Current test verdict: Passed, Failed, Blocked, or Not Executed (Pending execution).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3">
      <text>
        <t xml:space="preserve">Unique identifier for each test case (e.g. TC001, TC002)</t>
      </text>
    </comment>
    <comment authorId="0" ref="B13">
      <text>
        <t xml:space="preserve">Functional module or component under test (e.g. Auth, Cart, Search)</t>
      </text>
    </comment>
    <comment authorId="0" ref="C13">
      <text>
        <t xml:space="preserve">High-level description of what feature/behavior is being tested</t>
      </text>
    </comment>
    <comment authorId="0" ref="D13">
      <text>
        <t xml:space="preserve">Sequential, step-by-step instructions to reproduce the test scenario</t>
      </text>
    </comment>
    <comment authorId="0" ref="E13">
      <text>
        <t xml:space="preserve">Specific input values, credentials, or system state required for execution</t>
      </text>
    </comment>
    <comment authorId="0" ref="F13">
      <text>
        <t xml:space="preserve">The anticipated system response or UI behavior according to specifications</t>
      </text>
    </comment>
    <comment authorId="0" ref="G13">
      <text>
        <t xml:space="preserve">The observed system behavior during execution (Done as expected, Issue observed, Pending)</t>
      </text>
    </comment>
    <comment authorId="0" ref="H13">
      <text>
        <t xml:space="preserve">Overall execution verdict (Passed, Failed, Blocked, Not Executed)</t>
      </text>
    </comment>
  </commentList>
</comments>
</file>

<file path=xl/sharedStrings.xml><?xml version="1.0" encoding="utf-8"?>
<sst xmlns="http://schemas.openxmlformats.org/spreadsheetml/2006/main" count="218" uniqueCount="141">
  <si>
    <t>UBER PLATFORM - TEST PLAN DOCUMENT</t>
  </si>
  <si>
    <t>Field</t>
  </si>
  <si>
    <t>Details</t>
  </si>
  <si>
    <t>QA EXECUTION SUMMARY</t>
  </si>
  <si>
    <t>Project</t>
  </si>
  <si>
    <t>TEST PLAN DOCUMENT</t>
  </si>
  <si>
    <t>Uber Website</t>
  </si>
  <si>
    <t>TOTAL TESTS</t>
  </si>
  <si>
    <t>PASSED</t>
  </si>
  <si>
    <t>FAILED</t>
  </si>
  <si>
    <t>EXECUTION PROGRESS</t>
  </si>
  <si>
    <t>Testing Type</t>
  </si>
  <si>
    <t>Manual Testing</t>
  </si>
  <si>
    <t>[Application / Project Name]</t>
  </si>
  <si>
    <t>Manual &amp; Functional Testing</t>
  </si>
  <si>
    <t>Objective</t>
  </si>
  <si>
    <t>Verify that Uber features work as expected</t>
  </si>
  <si>
    <t>BLOCKED</t>
  </si>
  <si>
    <t>NOT EXECUTED</t>
  </si>
  <si>
    <t>PASS RATE</t>
  </si>
  <si>
    <t>STATUS</t>
  </si>
  <si>
    <t>Scope</t>
  </si>
  <si>
    <t>Login, Search, location, offer, voucher, help</t>
  </si>
  <si>
    <t>Testing Approach</t>
  </si>
  <si>
    <t>Functional, UI, Positive &amp; Negative Testing</t>
  </si>
  <si>
    <t>Browser</t>
  </si>
  <si>
    <t>Google Chrome</t>
  </si>
  <si>
    <t>Device</t>
  </si>
  <si>
    <t>Laptop/Desktop</t>
  </si>
  <si>
    <t>Test Data</t>
  </si>
  <si>
    <t>Valid and Invalid Inputs</t>
  </si>
  <si>
    <t>Verify that target features work as expected according to product specifications</t>
  </si>
  <si>
    <t>[Module 1, Module 2, Module 3, Workflow flows]</t>
  </si>
  <si>
    <t>Tester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</si>
  <si>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</si>
  <si>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</si>
  <si>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</si>
  <si>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</si>
  <si>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</si>
  <si>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</si>
  <si>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</si>
  <si>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</si>
  <si>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</si>
  <si>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Verify login functionality</t>
  </si>
  <si>
    <t>Google Chrome / Multi-browser</t>
  </si>
  <si>
    <t>Open uber→ Click Login → Enter credentials</t>
  </si>
  <si>
    <t>Valid credentials</t>
  </si>
  <si>
    <t>User should be logged in</t>
  </si>
  <si>
    <t>Done as expected</t>
  </si>
  <si>
    <t>Laptop / Desktop / Mobile</t>
  </si>
  <si>
    <t>Passed</t>
  </si>
  <si>
    <t>Valid and Invalid Inputs, Mock Data</t>
  </si>
  <si>
    <t>TC002</t>
  </si>
  <si>
    <t>Login with invalid password</t>
  </si>
  <si>
    <t>Open Login → Enter username → Enter wrong password</t>
  </si>
  <si>
    <t>Wrong password</t>
  </si>
  <si>
    <t>Error message should appear</t>
  </si>
  <si>
    <t>TC003</t>
  </si>
  <si>
    <t>Search</t>
  </si>
  <si>
    <t xml:space="preserve">Search for a ride </t>
  </si>
  <si>
    <t>Enter vehicle type→ Click Search</t>
  </si>
  <si>
    <t>Laptop</t>
  </si>
  <si>
    <t>Relevant vehical should appear</t>
  </si>
  <si>
    <t>TC004</t>
  </si>
  <si>
    <t>Search with empty input</t>
  </si>
  <si>
    <t>Open search → Click Search</t>
  </si>
  <si>
    <t>Empty</t>
  </si>
  <si>
    <t>Appropriate response should appear</t>
  </si>
  <si>
    <t>Other result observed</t>
  </si>
  <si>
    <t>TC005</t>
  </si>
  <si>
    <t>Location</t>
  </si>
  <si>
    <t>Open a location</t>
  </si>
  <si>
    <t>Search location → Click location</t>
  </si>
  <si>
    <t>location details page should open</t>
  </si>
  <si>
    <t>TC006</t>
  </si>
  <si>
    <t>Offer</t>
  </si>
  <si>
    <t>Add Ride to offer</t>
  </si>
  <si>
    <t>Open offer → Click Add to ride</t>
  </si>
  <si>
    <t>Available offer</t>
  </si>
  <si>
    <t>offer should be added to ride</t>
  </si>
  <si>
    <t>TC007</t>
  </si>
  <si>
    <t>Voucher</t>
  </si>
  <si>
    <t>Add voucher for the ride</t>
  </si>
  <si>
    <t xml:space="preserve">Click voucher → Add to ride </t>
  </si>
  <si>
    <t>Added voucher</t>
  </si>
  <si>
    <t>invalid voucher code</t>
  </si>
  <si>
    <t>Issue observed</t>
  </si>
  <si>
    <t>Failed</t>
  </si>
  <si>
    <t>TC008</t>
  </si>
  <si>
    <t>Help</t>
  </si>
  <si>
    <t>Open a help to  carify</t>
  </si>
  <si>
    <t>Open help→ Click  required event</t>
  </si>
  <si>
    <t>Help and service</t>
  </si>
  <si>
    <t>service and help made to customer ride</t>
  </si>
  <si>
    <t>Authentication</t>
  </si>
  <si>
    <t>Verify user login with valid credentials</t>
  </si>
  <si>
    <t>1. Navigate to Login → 2. Enter valid email/password → 3. Click Submit</t>
  </si>
  <si>
    <t>User should be authenticated and redirected to dashboard</t>
  </si>
  <si>
    <t>Verify error messaging for invalid password</t>
  </si>
  <si>
    <t>1. Open Login → 2. Enter valid email &amp; wrong password → 3. Click Submit</t>
  </si>
  <si>
    <t>Appropriate 'Invalid credentials' error message should appear</t>
  </si>
  <si>
    <t>Pending</t>
  </si>
  <si>
    <t>Not Executed</t>
  </si>
  <si>
    <t>Search &amp; Filter</t>
  </si>
  <si>
    <t>Search for an active product by keyword</t>
  </si>
  <si>
    <t>1. Click search bar → 2. Enter keyword → 3. Click Search</t>
  </si>
  <si>
    <t>Relevant matching products should display with valid pricing</t>
  </si>
  <si>
    <t>Search with empty / blank input</t>
  </si>
  <si>
    <t>1. Focus search bar → 2. Leave blank → 3. Click Search</t>
  </si>
  <si>
    <t>System maintains current view or shows search prompt</t>
  </si>
  <si>
    <t>Product Details</t>
  </si>
  <si>
    <t>Open product specifications page</t>
  </si>
  <si>
    <t>1. Search product → 2. Click on product card</t>
  </si>
  <si>
    <t>Product SKU</t>
  </si>
  <si>
    <t>Product details, image gallery, and price should load</t>
  </si>
  <si>
    <t>Cart &amp; Checkout</t>
  </si>
  <si>
    <t>Add in-stock item to cart</t>
  </si>
  <si>
    <t>1. Open product view → 2. Click 'Add to Cart'</t>
  </si>
  <si>
    <t>In-stock item</t>
  </si>
  <si>
    <t>Item added successfully; cart badge count increments by 1</t>
  </si>
  <si>
    <t>Remove item from cart</t>
  </si>
  <si>
    <t>1. Open Cart view → 2. Click 'Remove' on item → 3. Confirm</t>
  </si>
  <si>
    <t>Cart with 1 item</t>
  </si>
  <si>
    <t>Item removed from cart and cart subtotal updates to zero</t>
  </si>
  <si>
    <t>Wishlist</t>
  </si>
  <si>
    <t>Add item to user wishlist</t>
  </si>
  <si>
    <t>1. Open product details → 2. Click 'Add to Wishlist'</t>
  </si>
  <si>
    <t>Available product</t>
  </si>
  <si>
    <t>Item added to user wishlist and heart icon toggles active</t>
  </si>
  <si>
    <t>TC009</t>
  </si>
  <si>
    <t>Form Validation</t>
  </si>
  <si>
    <t>Verify mandatory field validation on checkout</t>
  </si>
  <si>
    <t>1. Go to checkout → 2. Leave address blank → 3. Click Continue</t>
  </si>
  <si>
    <t>Empty address</t>
  </si>
  <si>
    <t>Inline error warning alerts user to complete required fields</t>
  </si>
  <si>
    <t>TC010</t>
  </si>
  <si>
    <t>Navigation</t>
  </si>
  <si>
    <t>Verify responsive footer documentation links</t>
  </si>
  <si>
    <t>1. Scroll to footer → 2. Click 'Help Center / Terms'</t>
  </si>
  <si>
    <t>N/A</t>
  </si>
  <si>
    <t>Target documentation page opens in new tab with valid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</si>
</sst>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0">
    <font>
      <sz val="10.0"/>
      <color rgb="FF000000"/>
      <name val="Arial"/>
      <scheme val="minor"/>
    </font>
    <font>
      <b/>
      <sz val="12.0"/>
      <color rgb="FFFFFFFF"/>
      <name val="Google Sans"/>
    </font>
    <font/>
    <font>
      <b/>
      <sz val="10.0"/>
      <color rgb="FFFFFFFF"/>
      <name val="Google Sans"/>
    </font>
    <font>
      <b/>
      <sz val="11.0"/>
      <color rgb="FFFFFFFF"/>
      <name val="Google Sans"/>
    </font>
    <font>
      <b/>
      <sz val="10.0"/>
      <color rgb="FF1A1B1F"/>
      <name val="Google Sans"/>
    </font>
    <font>
      <sz val="10.0"/>
      <color rgb="FF1A1B1F"/>
      <name val="Google Sans"/>
    </font>
    <font>
      <b/>
      <sz val="9.0"/>
      <color rgb="FF465469"/>
      <name val="Google Sans"/>
    </font>
    <font>
      <b/>
      <sz val="10.0"/>
      <color rgb="FF1E293A"/>
      <name val="Google Sans"/>
    </font>
    <font>
      <b/>
      <sz val="16.0"/>
      <color rgb="FF1E3989"/>
      <name val="Google Sans"/>
    </font>
    <font>
      <sz val="10.0"/>
      <color rgb="FF1E293A"/>
      <name val="Google Sans"/>
    </font>
    <font>
      <b/>
      <sz val="16.0"/>
      <color rgb="FF059569"/>
      <name val="Google Sans"/>
    </font>
    <font>
      <b/>
      <sz val="16.0"/>
      <color rgb="FFDC2525"/>
      <name val="Google Sans"/>
    </font>
    <font>
      <b/>
      <sz val="16.0"/>
      <color rgb="FF2462EB"/>
      <name val="Google Sans"/>
    </font>
    <font>
      <b/>
      <sz val="14.0"/>
      <color rgb="FFD97706"/>
      <name val="Google Sans"/>
    </font>
    <font>
      <b/>
      <sz val="16.0"/>
      <color rgb="FF1D3A8A"/>
      <name val="Google Sans"/>
    </font>
    <font>
      <b/>
      <sz val="14.0"/>
      <color rgb="FF63748A"/>
      <name val="Google Sans"/>
    </font>
    <font>
      <b/>
      <sz val="14.0"/>
      <color rgb="FF0D9387"/>
      <name val="Google Sans"/>
    </font>
    <font>
      <b/>
      <sz val="16.0"/>
      <color rgb="FF15A249"/>
      <name val="Google Sans"/>
    </font>
    <font>
      <b/>
      <sz val="11.0"/>
      <color rgb="FF4338C9"/>
      <name val="Google Sans"/>
    </font>
    <font>
      <sz val="9.0"/>
      <color rgb="FF1A1B1F"/>
      <name val="Google Sans"/>
    </font>
    <font>
      <b/>
      <sz val="9.0"/>
      <color rgb="FF0A5E28"/>
      <name val="Google Sans"/>
    </font>
    <font>
      <b/>
      <sz val="9.0"/>
      <color rgb="FFC5211F"/>
      <name val="Google Sans"/>
    </font>
    <font>
      <b/>
      <sz val="9.0"/>
      <color rgb="FF92400E"/>
      <name val="Google Sans"/>
    </font>
    <font>
      <b/>
      <sz val="9.0"/>
      <color rgb="FF465369"/>
      <name val="Google Sans"/>
    </font>
    <font>
      <b/>
      <sz val="16.0"/>
      <color rgb="FFD97706"/>
      <name val="Google Sans"/>
    </font>
    <font>
      <i/>
      <sz val="9.0"/>
      <color rgb="FF465369"/>
      <name val="Google Sans"/>
    </font>
    <font>
      <b/>
      <sz val="16.0"/>
      <color rgb="FF63748A"/>
      <name val="Google Sans"/>
    </font>
    <font>
      <b/>
      <sz val="11.0"/>
      <color rgb="FF2462EB"/>
      <name val="Google Sans"/>
    </font>
    <font>
      <b/>
      <sz val="10.0"/>
      <color rgb="FF1E3989"/>
      <name val="Google Sans"/>
    </font>
    <font>
      <b/>
      <sz val="10.0"/>
      <color theme="1"/>
      <name val="Google Sans"/>
    </font>
    <font>
      <color theme="1"/>
      <name val="Google Sans"/>
    </font>
    <font>
      <sz val="10.0"/>
      <color rgb="FF1F2937"/>
      <name val="Google Sans"/>
    </font>
    <font>
      <b/>
      <sz val="9.0"/>
      <color rgb="FF1E293A"/>
      <name val="Google Sans"/>
    </font>
    <font>
      <b/>
      <sz val="9.0"/>
      <color rgb="FF156434"/>
      <name val="Google Sans"/>
    </font>
    <font>
      <sz val="9.0"/>
      <color rgb="FF334154"/>
      <name val="Google Sans"/>
    </font>
    <font>
      <b/>
      <sz val="9.0"/>
      <color rgb="FF991B1B"/>
      <name val="Google Sans"/>
    </font>
    <font>
      <i/>
      <sz val="9.0"/>
      <color rgb="FF63748A"/>
      <name val="Google Sans"/>
    </font>
    <font>
      <b/>
      <sz val="10.0"/>
      <color rgb="FF1D3A8A"/>
      <name val="Google Sans"/>
    </font>
    <font>
      <sz val="9.0"/>
      <color rgb="FF465469"/>
      <name val="Google Sans"/>
    </font>
  </fonts>
  <fills count="9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2A4678"/>
        <bgColor rgb="FF2A4678"/>
      </patternFill>
    </fill>
    <fill>
      <patternFill patternType="solid">
        <fgColor rgb="FFEDF1F8"/>
        <bgColor rgb="FFEDF1F8"/>
      </patternFill>
    </fill>
    <fill>
      <patternFill patternType="solid">
        <fgColor rgb="FFFFFFFF"/>
        <bgColor rgb="FFFFFFFF"/>
      </patternFill>
    </fill>
    <fill>
      <patternFill patternType="solid">
        <fgColor rgb="FF1D3A8A"/>
        <bgColor rgb="FF1D3A8A"/>
      </patternFill>
    </fill>
    <fill>
      <patternFill patternType="solid">
        <fgColor rgb="FFF0F5F8"/>
        <bgColor rgb="FFF0F5F8"/>
      </patternFill>
    </fill>
    <fill>
      <patternFill patternType="solid">
        <fgColor rgb="FFF8F9FB"/>
        <bgColor rgb="FFF8F9FB"/>
      </patternFill>
    </fill>
  </fills>
  <borders count="51">
    <border/>
    <border>
      <left style="medium">
        <color rgb="FF1E3989"/>
      </left>
      <top style="medium">
        <color rgb="FF1E3989"/>
      </top>
      <bottom style="medium">
        <color rgb="FF1E3989"/>
      </bottom>
    </border>
    <border>
      <top style="medium">
        <color rgb="FF1E3989"/>
      </top>
      <bottom style="medium">
        <color rgb="FF1E3989"/>
      </bottom>
    </border>
    <border>
      <right style="medium">
        <color rgb="FF1E3989"/>
      </right>
      <top style="medium">
        <color rgb="FF1E3989"/>
      </top>
      <bottom style="medium">
        <color rgb="FF1E3989"/>
      </bottom>
    </border>
    <border>
      <left style="medium">
        <color rgb="FF2A4678"/>
      </left>
      <right style="thin">
        <color rgb="FFD8DDEA"/>
      </right>
      <bottom style="thin">
        <color rgb="FFD8DDEA"/>
      </bottom>
    </border>
    <border>
      <left style="thin">
        <color rgb="FFD8DDEA"/>
      </left>
      <right style="medium">
        <color rgb="FF2A4678"/>
      </right>
      <bottom style="thin">
        <color rgb="FFD8DDEA"/>
      </bottom>
    </border>
    <border>
      <left style="medium">
        <color rgb="FF1E3989"/>
      </left>
      <top style="medium">
        <color rgb="FF1E3989"/>
      </top>
      <bottom style="thin">
        <color rgb="FFD1D8E5"/>
      </bottom>
    </border>
    <border>
      <top style="medium">
        <color rgb="FF1E3989"/>
      </top>
      <bottom style="thin">
        <color rgb="FFD1D8E5"/>
      </bottom>
    </border>
    <border>
      <right style="medium">
        <color rgb="FF1E3989"/>
      </right>
      <top style="medium">
        <color rgb="FF1E3989"/>
      </top>
      <bottom style="thin">
        <color rgb="FFD1D8E5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thin">
        <color rgb="FFD8DDEA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thin">
        <color rgb="FFD8DDEA"/>
      </bottom>
    </border>
    <border>
      <left style="medium">
        <color rgb="FF1E3989"/>
      </left>
      <top style="medium">
        <color rgb="FF1E3989"/>
      </top>
    </border>
    <border>
      <top style="medium">
        <color rgb="FF1E3989"/>
      </top>
    </border>
    <border>
      <left style="medium">
        <color rgb="FF1E3989"/>
      </left>
      <right style="thin">
        <color rgb="FFD1D8E5"/>
      </right>
      <top style="thin">
        <color rgb="FFD1D8E5"/>
      </top>
      <bottom style="thin">
        <color rgb="FFD1D8E5"/>
      </bottom>
    </border>
    <border>
      <right style="medium">
        <color rgb="FF1E3989"/>
      </right>
      <top style="medium">
        <color rgb="FF1E3989"/>
      </top>
    </border>
    <border>
      <left style="thin">
        <color rgb="FFD1D8E5"/>
      </left>
      <right style="thin">
        <color rgb="FFD1D8E5"/>
      </right>
      <top style="thin">
        <color rgb="FFD1D8E5"/>
      </top>
      <bottom style="thin">
        <color rgb="FFD1D8E5"/>
      </bottom>
    </border>
    <border>
      <left style="thin">
        <color rgb="FFCAD4E0"/>
      </left>
      <right style="thin">
        <color rgb="FFE1E8EF"/>
      </right>
      <top style="thin">
        <color rgb="FF1D3A8A"/>
      </top>
      <bottom style="thin">
        <color rgb="FFE1E8EF"/>
      </bottom>
    </border>
    <border>
      <left style="thin">
        <color rgb="FFD1D8E5"/>
      </left>
      <right style="medium">
        <color rgb="FF1E3989"/>
      </right>
      <top style="thin">
        <color rgb="FFD1D8E5"/>
      </top>
      <bottom style="thin">
        <color rgb="FFD1D8E5"/>
      </bottom>
    </border>
    <border>
      <left style="thin">
        <color rgb="FFE1E8EF"/>
      </left>
      <top style="thin">
        <color rgb="FF1D3A8A"/>
      </top>
      <bottom style="thin">
        <color rgb="FFE1E8EF"/>
      </bottom>
    </border>
    <border>
      <top style="thin">
        <color rgb="FF1D3A8A"/>
      </top>
      <bottom style="thin">
        <color rgb="FFE1E8EF"/>
      </bottom>
    </border>
    <border>
      <right style="thin">
        <color rgb="FFCAD4E0"/>
      </right>
      <top style="thin">
        <color rgb="FF1D3A8A"/>
      </top>
      <bottom style="thin">
        <color rgb="FFE1E8EF"/>
      </bottom>
    </border>
    <border>
      <left style="thin">
        <color rgb="FFCAD4E0"/>
      </left>
      <top style="thin">
        <color rgb="FF1D3A8A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top style="thin">
        <color rgb="FFE1E8EF"/>
      </top>
      <bottom style="thin">
        <color rgb="FFE1E8EF"/>
      </bottom>
    </border>
    <border>
      <top style="thin">
        <color rgb="FFE1E8EF"/>
      </top>
      <bottom style="thin">
        <color rgb="FFE1E8EF"/>
      </bottom>
    </border>
    <border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</border>
    <border>
      <left style="medium">
        <color rgb="FF1E3989"/>
      </left>
      <right style="thin">
        <color rgb="FFD1D8E5"/>
      </right>
      <top style="thin">
        <color rgb="FFD1D8E5"/>
      </top>
      <bottom style="medium">
        <color rgb="FF1E3989"/>
      </bottom>
    </border>
    <border>
      <left style="thin">
        <color rgb="FFD1D8E5"/>
      </left>
      <right style="thin">
        <color rgb="FFD1D8E5"/>
      </right>
      <top style="thin">
        <color rgb="FFD1D8E5"/>
      </top>
      <bottom style="medium">
        <color rgb="FF1E3989"/>
      </bottom>
    </border>
    <border>
      <left style="thin">
        <color rgb="FFD1D8E5"/>
      </left>
      <right style="medium">
        <color rgb="FF1E3989"/>
      </right>
      <top style="thin">
        <color rgb="FFD1D8E5"/>
      </top>
      <bottom style="medium">
        <color rgb="FF1E3989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medium">
        <color rgb="FF2A4678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medium">
        <color rgb="FF2A4678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AD4E0"/>
      </bottom>
    </border>
    <border>
      <left style="medium">
        <color rgb="FF1E3989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E1E8EF"/>
      </left>
      <right style="thin">
        <color rgb="FFE1E8EF"/>
      </right>
      <bottom style="thin">
        <color rgb="FFE1E8EF"/>
      </bottom>
    </border>
    <border>
      <left style="thin">
        <color rgb="FFE1E8EF"/>
      </left>
      <right style="medium">
        <color rgb="FF1E3989"/>
      </right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CAD4E0"/>
      </bottom>
    </border>
    <border>
      <left style="medium">
        <color rgb="FF1E3989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medium">
        <color rgb="FF1E3989"/>
      </right>
      <top style="thin">
        <color rgb="FFE1E8EF"/>
      </top>
      <bottom style="thin">
        <color rgb="FFE1E8EF"/>
      </bottom>
    </border>
    <border>
      <left style="thin">
        <color rgb="FFE1E8EF"/>
      </left>
      <top style="thin">
        <color rgb="FFE1E8EF"/>
      </top>
      <bottom style="thin">
        <color rgb="FFCAD4E0"/>
      </bottom>
    </border>
    <border>
      <top style="thin">
        <color rgb="FFE1E8EF"/>
      </top>
      <bottom style="thin">
        <color rgb="FFCAD4E0"/>
      </bottom>
    </border>
    <border>
      <right style="thin">
        <color rgb="FFCAD4E0"/>
      </right>
      <top style="thin">
        <color rgb="FFE1E8EF"/>
      </top>
      <bottom style="thin">
        <color rgb="FFCAD4E0"/>
      </bottom>
    </border>
    <border>
      <left style="thin">
        <color rgb="FFCAD4E0"/>
      </left>
      <right style="thin">
        <color rgb="FFE1E8EF"/>
      </right>
      <top style="medium">
        <color rgb="FF1D3A8A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medium">
        <color rgb="FF1D3A8A"/>
      </top>
      <bottom style="thin">
        <color rgb="FFE1E8EF"/>
      </bottom>
    </border>
    <border>
      <left style="medium">
        <color rgb="FF1E3989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thin">
        <color rgb="FFCAD4E0"/>
      </right>
      <bottom style="thin">
        <color rgb="FFE1E8EF"/>
      </bottom>
    </border>
    <border>
      <left style="thin">
        <color rgb="FFE1E8EF"/>
      </left>
      <right style="medium">
        <color rgb="FF1E3989"/>
      </right>
      <top style="thin">
        <color rgb="FFE1E8EF"/>
      </top>
      <bottom style="medium">
        <color rgb="FF1E3989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readingOrder="0" shrinkToFit="0" vertical="center" wrapText="1"/>
    </xf>
    <xf borderId="5" fillId="3" fontId="3" numFmtId="0" xfId="0" applyAlignment="1" applyBorder="1" applyFill="1" applyFont="1">
      <alignment horizontal="left" readingOrder="0" shrinkToFit="0" vertical="center" wrapText="1"/>
    </xf>
    <xf borderId="6" fillId="2" fontId="4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4" fontId="5" numFmtId="0" xfId="0" applyAlignment="1" applyBorder="1" applyFill="1" applyFont="1">
      <alignment horizontal="left" readingOrder="0" shrinkToFit="0" vertical="center" wrapText="1"/>
    </xf>
    <xf borderId="10" fillId="5" fontId="6" numFmtId="0" xfId="0" applyAlignment="1" applyBorder="1" applyFill="1" applyFont="1">
      <alignment horizontal="left" readingOrder="0" shrinkToFit="0" vertical="center" wrapText="1"/>
    </xf>
    <xf borderId="11" fillId="6" fontId="1" numFmtId="0" xfId="0" applyAlignment="1" applyBorder="1" applyFill="1" applyFont="1">
      <alignment horizontal="center" readingOrder="0" vertical="center"/>
    </xf>
    <xf borderId="12" fillId="0" fontId="2" numFmtId="0" xfId="0" applyBorder="1" applyFont="1"/>
    <xf borderId="13" fillId="7" fontId="7" numFmtId="0" xfId="0" applyAlignment="1" applyBorder="1" applyFill="1" applyFont="1">
      <alignment horizontal="center" readingOrder="0" vertical="center"/>
    </xf>
    <xf borderId="14" fillId="0" fontId="2" numFmtId="0" xfId="0" applyBorder="1" applyFont="1"/>
    <xf borderId="15" fillId="7" fontId="7" numFmtId="0" xfId="0" applyAlignment="1" applyBorder="1" applyFill="1" applyFont="1">
      <alignment horizontal="center" readingOrder="0" vertical="center"/>
    </xf>
    <xf borderId="16" fillId="6" fontId="3" numFmtId="0" xfId="0" applyAlignment="1" applyBorder="1" applyFill="1" applyFont="1">
      <alignment horizontal="left" readingOrder="0" vertical="center"/>
    </xf>
    <xf borderId="17" fillId="7" fontId="7" numFmtId="0" xfId="0" applyAlignment="1" applyBorder="1" applyFill="1" applyFont="1">
      <alignment horizontal="center" readingOrder="0" vertical="center"/>
    </xf>
    <xf borderId="18" fillId="6" fontId="3" numFmtId="0" xfId="0" applyAlignment="1" applyBorder="1" applyFill="1" applyFont="1">
      <alignment horizontal="left" readingOrder="0" vertical="center"/>
    </xf>
    <xf borderId="19" fillId="0" fontId="2" numFmtId="0" xfId="0" applyBorder="1" applyFont="1"/>
    <xf borderId="20" fillId="0" fontId="2" numFmtId="0" xfId="0" applyBorder="1" applyFont="1"/>
    <xf borderId="21" fillId="6" fontId="3" numFmtId="0" xfId="0" applyAlignment="1" applyBorder="1" applyFill="1" applyFont="1">
      <alignment horizontal="center" readingOrder="0" vertical="center"/>
    </xf>
    <xf borderId="22" fillId="7" fontId="8" numFmtId="0" xfId="0" applyAlignment="1" applyBorder="1" applyFill="1" applyFont="1">
      <alignment horizontal="left" readingOrder="0" vertical="center"/>
    </xf>
    <xf borderId="13" fillId="5" fontId="9" numFmtId="3" xfId="0" applyAlignment="1" applyBorder="1" applyFill="1" applyFont="1" applyNumberFormat="1">
      <alignment horizontal="center" vertical="center"/>
    </xf>
    <xf borderId="23" fillId="5" fontId="10" numFmtId="0" xfId="0" applyAlignment="1" applyBorder="1" applyFill="1" applyFont="1">
      <alignment horizontal="left" readingOrder="0" shrinkToFit="0" vertical="center" wrapText="1"/>
    </xf>
    <xf borderId="15" fillId="5" fontId="11" numFmtId="3" xfId="0" applyAlignment="1" applyBorder="1" applyFill="1" applyFont="1" applyNumberFormat="1">
      <alignment horizontal="center" readingOrder="0" vertical="center"/>
    </xf>
    <xf borderId="24" fillId="0" fontId="2" numFmtId="0" xfId="0" applyBorder="1" applyFont="1"/>
    <xf borderId="15" fillId="5" fontId="12" numFmtId="3" xfId="0" applyAlignment="1" applyBorder="1" applyFill="1" applyFont="1" applyNumberFormat="1">
      <alignment horizontal="center" readingOrder="0" vertical="center"/>
    </xf>
    <xf borderId="25" fillId="0" fontId="2" numFmtId="0" xfId="0" applyBorder="1" applyFont="1"/>
    <xf borderId="22" fillId="7" fontId="7" numFmtId="0" xfId="0" applyAlignment="1" applyBorder="1" applyFill="1" applyFont="1">
      <alignment horizontal="center" readingOrder="0" vertical="center"/>
    </xf>
    <xf borderId="26" fillId="7" fontId="7" numFmtId="0" xfId="0" applyAlignment="1" applyBorder="1" applyFill="1" applyFont="1">
      <alignment horizontal="center" readingOrder="0" vertical="center"/>
    </xf>
    <xf borderId="27" fillId="7" fontId="7" numFmtId="0" xfId="0" applyAlignment="1" applyBorder="1" applyFill="1" applyFont="1">
      <alignment horizontal="center" readingOrder="0" vertical="center"/>
    </xf>
    <xf borderId="17" fillId="5" fontId="13" numFmtId="164" xfId="0" applyAlignment="1" applyBorder="1" applyFill="1" applyFont="1" applyNumberFormat="1">
      <alignment horizontal="center" vertical="center"/>
    </xf>
    <xf borderId="28" fillId="5" fontId="14" numFmtId="3" xfId="0" applyAlignment="1" applyBorder="1" applyFill="1" applyFont="1" applyNumberFormat="1">
      <alignment horizontal="center" vertical="center"/>
    </xf>
    <xf borderId="22" fillId="5" fontId="15" numFmtId="3" xfId="0" applyAlignment="1" applyBorder="1" applyFill="1" applyFont="1" applyNumberFormat="1">
      <alignment horizontal="center" vertical="center"/>
    </xf>
    <xf borderId="29" fillId="5" fontId="16" numFmtId="3" xfId="0" applyAlignment="1" applyBorder="1" applyFill="1" applyFont="1" applyNumberFormat="1">
      <alignment horizontal="center" vertical="center"/>
    </xf>
    <xf borderId="29" fillId="5" fontId="17" numFmtId="164" xfId="0" applyAlignment="1" applyBorder="1" applyFill="1" applyFont="1" applyNumberFormat="1">
      <alignment horizontal="center" readingOrder="0" vertical="center"/>
    </xf>
    <xf borderId="26" fillId="5" fontId="18" numFmtId="3" xfId="0" applyAlignment="1" applyBorder="1" applyFill="1" applyFont="1" applyNumberFormat="1">
      <alignment horizontal="center" vertical="center"/>
    </xf>
    <xf borderId="26" fillId="5" fontId="12" numFmtId="3" xfId="0" applyAlignment="1" applyBorder="1" applyFill="1" applyFont="1" applyNumberFormat="1">
      <alignment horizontal="center" vertical="center"/>
    </xf>
    <xf borderId="30" fillId="5" fontId="19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27" fillId="5" fontId="13" numFmtId="164" xfId="0" applyAlignment="1" applyBorder="1" applyFill="1" applyFont="1" applyNumberFormat="1">
      <alignment horizontal="center" vertical="center"/>
    </xf>
    <xf borderId="0" fillId="0" fontId="21" numFmtId="0" xfId="0" applyAlignment="1" applyFont="1">
      <alignment horizontal="center" readingOrder="0" vertical="center"/>
    </xf>
    <xf borderId="0" fillId="0" fontId="20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horizontal="center" readingOrder="0" vertical="center"/>
    </xf>
    <xf borderId="31" fillId="4" fontId="5" numFmtId="0" xfId="0" applyAlignment="1" applyBorder="1" applyFill="1" applyFont="1">
      <alignment horizontal="left" readingOrder="0" shrinkToFit="0" vertical="center" wrapText="1"/>
    </xf>
    <xf borderId="32" fillId="5" fontId="6" numFmtId="0" xfId="0" applyAlignment="1" applyBorder="1" applyFill="1" applyFont="1">
      <alignment horizontal="left" readingOrder="0" shrinkToFit="0" vertical="center" wrapText="1"/>
    </xf>
    <xf borderId="0" fillId="0" fontId="23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33" fillId="5" fontId="25" numFmtId="3" xfId="0" applyAlignment="1" applyBorder="1" applyFill="1" applyFont="1" applyNumberFormat="1">
      <alignment horizontal="center" vertical="center"/>
    </xf>
    <xf borderId="0" fillId="0" fontId="26" numFmtId="0" xfId="0" applyAlignment="1" applyFont="1">
      <alignment horizontal="center" readingOrder="0" vertical="center"/>
    </xf>
    <xf borderId="34" fillId="5" fontId="27" numFmtId="3" xfId="0" applyAlignment="1" applyBorder="1" applyFill="1" applyFont="1" applyNumberFormat="1">
      <alignment horizontal="center" vertical="center"/>
    </xf>
    <xf borderId="35" fillId="2" fontId="3" numFmtId="0" xfId="0" applyAlignment="1" applyBorder="1" applyFill="1" applyFont="1">
      <alignment horizontal="center" readingOrder="0" shrinkToFit="0" vertical="center" wrapText="1"/>
    </xf>
    <xf borderId="36" fillId="2" fontId="3" numFmtId="0" xfId="0" applyAlignment="1" applyBorder="1" applyFill="1" applyFont="1">
      <alignment horizontal="left" readingOrder="0" shrinkToFit="0" vertical="center" wrapText="1"/>
    </xf>
    <xf borderId="37" fillId="2" fontId="3" numFmtId="0" xfId="0" applyAlignment="1" applyBorder="1" applyFill="1" applyFont="1">
      <alignment horizontal="left" readingOrder="0" shrinkToFit="0" vertical="center" wrapText="1"/>
    </xf>
    <xf borderId="34" fillId="5" fontId="18" numFmtId="164" xfId="0" applyAlignment="1" applyBorder="1" applyFill="1" applyFont="1" applyNumberFormat="1">
      <alignment horizontal="center" vertical="center"/>
    </xf>
    <xf borderId="37" fillId="2" fontId="3" numFmtId="0" xfId="0" applyAlignment="1" applyBorder="1" applyFill="1" applyFont="1">
      <alignment horizontal="center" readingOrder="0" shrinkToFit="0" vertical="center" wrapText="1"/>
    </xf>
    <xf borderId="38" fillId="2" fontId="3" numFmtId="0" xfId="0" applyAlignment="1" applyBorder="1" applyFill="1" applyFont="1">
      <alignment horizontal="center" readingOrder="0" shrinkToFit="0" vertical="center" wrapText="1"/>
    </xf>
    <xf borderId="39" fillId="5" fontId="28" numFmtId="0" xfId="0" applyAlignment="1" applyBorder="1" applyFill="1" applyFont="1">
      <alignment horizontal="center" vertical="center"/>
    </xf>
    <xf borderId="40" fillId="5" fontId="29" numFmtId="0" xfId="0" applyAlignment="1" applyBorder="1" applyFill="1" applyFont="1">
      <alignment horizontal="center" readingOrder="0" shrinkToFit="0" vertical="center" wrapText="1"/>
    </xf>
    <xf borderId="26" fillId="5" fontId="30" numFmtId="0" xfId="0" applyAlignment="1" applyBorder="1" applyFill="1" applyFont="1">
      <alignment horizontal="left" readingOrder="0" shrinkToFit="0" vertical="center" wrapText="1"/>
    </xf>
    <xf borderId="0" fillId="5" fontId="31" numFmtId="0" xfId="0" applyFill="1" applyFont="1"/>
    <xf borderId="26" fillId="5" fontId="32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vertical="center"/>
    </xf>
    <xf borderId="26" fillId="5" fontId="32" numFmtId="0" xfId="0" applyAlignment="1" applyBorder="1" applyFill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vertical="center"/>
    </xf>
    <xf borderId="41" fillId="5" fontId="32" numFmtId="0" xfId="0" applyAlignment="1" applyBorder="1" applyFill="1" applyFont="1">
      <alignment horizontal="center" readingOrder="0" shrinkToFit="0" vertical="center" wrapText="1"/>
    </xf>
    <xf borderId="0" fillId="0" fontId="34" numFmtId="0" xfId="0" applyAlignment="1" applyFont="1">
      <alignment horizontal="center" readingOrder="0" vertical="center"/>
    </xf>
    <xf borderId="40" fillId="8" fontId="29" numFmtId="0" xfId="0" applyAlignment="1" applyBorder="1" applyFill="1" applyFont="1">
      <alignment horizontal="center" readingOrder="0" shrinkToFit="0" vertical="center" wrapText="1"/>
    </xf>
    <xf borderId="0" fillId="0" fontId="35" numFmtId="0" xfId="0" applyAlignment="1" applyFont="1">
      <alignment horizontal="left" readingOrder="0" vertical="center"/>
    </xf>
    <xf borderId="0" fillId="0" fontId="36" numFmtId="0" xfId="0" applyAlignment="1" applyFont="1">
      <alignment horizontal="center" readingOrder="0" vertical="center"/>
    </xf>
    <xf borderId="26" fillId="8" fontId="30" numFmtId="0" xfId="0" applyAlignment="1" applyBorder="1" applyFill="1" applyFont="1">
      <alignment horizontal="left" readingOrder="0" shrinkToFit="0" vertical="center" wrapText="1"/>
    </xf>
    <xf borderId="33" fillId="7" fontId="8" numFmtId="0" xfId="0" applyAlignment="1" applyBorder="1" applyFill="1" applyFont="1">
      <alignment horizontal="left" readingOrder="0" vertical="center"/>
    </xf>
    <xf borderId="26" fillId="8" fontId="32" numFmtId="0" xfId="0" applyAlignment="1" applyBorder="1" applyFill="1" applyFont="1">
      <alignment horizontal="left" readingOrder="0" shrinkToFit="0" vertical="center" wrapText="1"/>
    </xf>
    <xf borderId="42" fillId="5" fontId="10" numFmtId="0" xfId="0" applyAlignment="1" applyBorder="1" applyFill="1" applyFont="1">
      <alignment horizontal="left" readingOrder="0" shrinkToFit="0" vertical="center" wrapText="1"/>
    </xf>
    <xf borderId="43" fillId="0" fontId="2" numFmtId="0" xfId="0" applyBorder="1" applyFont="1"/>
    <xf borderId="26" fillId="8" fontId="32" numFmtId="0" xfId="0" applyAlignment="1" applyBorder="1" applyFill="1" applyFont="1">
      <alignment horizontal="center" readingOrder="0" shrinkToFit="0" vertical="center" wrapText="1"/>
    </xf>
    <xf borderId="44" fillId="0" fontId="2" numFmtId="0" xfId="0" applyBorder="1" applyFont="1"/>
    <xf borderId="41" fillId="8" fontId="32" numFmtId="0" xfId="0" applyAlignment="1" applyBorder="1" applyFill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31" numFmtId="0" xfId="0" applyFont="1"/>
    <xf borderId="0" fillId="0" fontId="37" numFmtId="0" xfId="0" applyAlignment="1" applyFont="1">
      <alignment horizontal="center" readingOrder="0" vertical="center"/>
    </xf>
    <xf borderId="45" fillId="6" fontId="3" numFmtId="0" xfId="0" applyAlignment="1" applyBorder="1" applyFill="1" applyFont="1">
      <alignment horizontal="center" readingOrder="0" vertical="center"/>
    </xf>
    <xf borderId="46" fillId="6" fontId="3" numFmtId="0" xfId="0" applyAlignment="1" applyBorder="1" applyFill="1" applyFont="1">
      <alignment horizontal="left" readingOrder="0" vertical="center"/>
    </xf>
    <xf borderId="47" fillId="8" fontId="29" numFmtId="0" xfId="0" applyAlignment="1" applyBorder="1" applyFill="1" applyFont="1">
      <alignment horizontal="center" readingOrder="0" shrinkToFit="0" vertical="center" wrapText="1"/>
    </xf>
    <xf borderId="37" fillId="6" fontId="3" numFmtId="0" xfId="0" applyAlignment="1" applyBorder="1" applyFill="1" applyFont="1">
      <alignment horizontal="left" readingOrder="0" vertical="center"/>
    </xf>
    <xf borderId="48" fillId="8" fontId="30" numFmtId="0" xfId="0" applyAlignment="1" applyBorder="1" applyFill="1" applyFont="1">
      <alignment horizontal="left" readingOrder="0" shrinkToFit="0" vertical="center" wrapText="1"/>
    </xf>
    <xf borderId="37" fillId="6" fontId="3" numFmtId="0" xfId="0" applyAlignment="1" applyBorder="1" applyFill="1" applyFont="1">
      <alignment horizontal="center" readingOrder="0" vertical="center"/>
    </xf>
    <xf borderId="48" fillId="8" fontId="32" numFmtId="0" xfId="0" applyAlignment="1" applyBorder="1" applyFill="1" applyFont="1">
      <alignment horizontal="left" readingOrder="0" shrinkToFit="0" vertical="center" wrapText="1"/>
    </xf>
    <xf borderId="49" fillId="6" fontId="3" numFmtId="0" xfId="0" applyAlignment="1" applyBorder="1" applyFill="1" applyFont="1">
      <alignment horizontal="center" readingOrder="0" vertical="center"/>
    </xf>
    <xf borderId="48" fillId="8" fontId="32" numFmtId="0" xfId="0" applyAlignment="1" applyBorder="1" applyFill="1" applyFont="1">
      <alignment horizontal="center" readingOrder="0" shrinkToFit="0" vertical="center" wrapText="1"/>
    </xf>
    <xf borderId="22" fillId="0" fontId="38" numFmtId="0" xfId="0" applyAlignment="1" applyBorder="1" applyFont="1">
      <alignment horizontal="center" readingOrder="0" vertical="center"/>
    </xf>
    <xf borderId="50" fillId="8" fontId="32" numFmtId="0" xfId="0" applyAlignment="1" applyBorder="1" applyFill="1" applyFont="1">
      <alignment horizontal="center" readingOrder="0" shrinkToFit="0" vertical="center" wrapText="1"/>
    </xf>
    <xf borderId="26" fillId="0" fontId="8" numFmtId="0" xfId="0" applyAlignment="1" applyBorder="1" applyFont="1">
      <alignment horizontal="left" readingOrder="0" vertical="center"/>
    </xf>
    <xf borderId="26" fillId="0" fontId="10" numFmtId="0" xfId="0" applyAlignment="1" applyBorder="1" applyFont="1">
      <alignment horizontal="left" readingOrder="0" shrinkToFit="0" vertical="center" wrapText="1"/>
    </xf>
    <xf borderId="26" fillId="0" fontId="35" numFmtId="0" xfId="0" applyAlignment="1" applyBorder="1" applyFont="1">
      <alignment horizontal="left" readingOrder="0" shrinkToFit="0" vertical="center" wrapText="1"/>
    </xf>
    <xf borderId="26" fillId="0" fontId="39" numFmtId="0" xfId="0" applyAlignment="1" applyBorder="1" applyFont="1">
      <alignment horizontal="left" readingOrder="0" shrinkToFit="0" vertical="center" wrapText="1"/>
    </xf>
    <xf borderId="26" fillId="0" fontId="31" numFmtId="0" xfId="0" applyAlignment="1" applyBorder="1" applyFont="1">
      <alignment horizontal="center" readingOrder="0" vertical="center"/>
    </xf>
    <xf borderId="27" fillId="0" fontId="31" numFmtId="0" xfId="0" applyAlignment="1" applyBorder="1" applyFont="1">
      <alignment horizontal="center" readingOrder="0" vertical="center"/>
    </xf>
    <xf borderId="33" fillId="0" fontId="38" numFmtId="0" xfId="0" applyAlignment="1" applyBorder="1" applyFont="1">
      <alignment horizontal="center" readingOrder="0" vertical="center"/>
    </xf>
    <xf borderId="34" fillId="0" fontId="8" numFmtId="0" xfId="0" applyAlignment="1" applyBorder="1" applyFont="1">
      <alignment horizontal="left" readingOrder="0" vertical="center"/>
    </xf>
    <xf borderId="34" fillId="0" fontId="10" numFmtId="0" xfId="0" applyAlignment="1" applyBorder="1" applyFont="1">
      <alignment horizontal="left" readingOrder="0" shrinkToFit="0" vertical="center" wrapText="1"/>
    </xf>
    <xf borderId="34" fillId="0" fontId="35" numFmtId="0" xfId="0" applyAlignment="1" applyBorder="1" applyFont="1">
      <alignment horizontal="left" readingOrder="0" shrinkToFit="0" vertical="center" wrapText="1"/>
    </xf>
    <xf borderId="34" fillId="0" fontId="39" numFmtId="0" xfId="0" applyAlignment="1" applyBorder="1" applyFont="1">
      <alignment horizontal="left" readingOrder="0" shrinkToFit="0" vertical="center" wrapText="1"/>
    </xf>
    <xf borderId="34" fillId="0" fontId="31" numFmtId="0" xfId="0" applyAlignment="1" applyBorder="1" applyFont="1">
      <alignment horizontal="center" readingOrder="0" vertical="center"/>
    </xf>
    <xf borderId="39" fillId="0" fontId="3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D3A8A"/>
          <bgColor rgb="FF1D3A8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5F8FB"/>
          <bgColor rgb="FFF5F8FB"/>
        </patternFill>
      </fill>
      <border/>
    </dxf>
  </dxfs>
  <tableStyles count="1">
    <tableStyle count="3" pivot="0" name="Test Plan Templa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3:H23" displayName="Table_1" name="Table_1" id="1">
  <tableColumns count="8">
    <tableColumn name="Test Case ID" id="1"/>
    <tableColumn name="Module" id="2"/>
    <tableColumn name="Test Scenario" id="3"/>
    <tableColumn name="Test Steps" id="4"/>
    <tableColumn name="Test Data" id="5"/>
    <tableColumn name="Expected Result" id="6"/>
    <tableColumn name="Actual Result" id="7"/>
    <tableColumn name="Status" id="8"/>
  </tableColumns>
  <tableStyleInfo name="Test Plan 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7.63"/>
    <col customWidth="1" min="3" max="3" width="36.0"/>
    <col customWidth="1" min="4" max="4" width="43.88"/>
    <col customWidth="1" min="5" max="5" width="20.13"/>
    <col customWidth="1" min="6" max="6" width="31.38"/>
    <col customWidth="1" min="7" max="7" width="21.38"/>
    <col customWidth="1" min="8" max="8" width="22.63"/>
  </cols>
  <sheetData>
    <row r="1" ht="30.0" customHeight="1">
      <c r="B1" s="1" t="s">
        <v>0</v>
      </c>
      <c r="C1" s="2"/>
      <c r="D1" s="2"/>
      <c r="E1" s="2"/>
      <c r="F1" s="2"/>
      <c r="G1" s="2"/>
      <c r="H1" s="3"/>
    </row>
    <row r="2" ht="22.5" customHeight="1">
      <c r="B2" s="4" t="s">
        <v>1</v>
      </c>
      <c r="C2" s="5" t="s">
        <v>2</v>
      </c>
      <c r="E2" s="6" t="s">
        <v>3</v>
      </c>
      <c r="F2" s="7"/>
      <c r="G2" s="7"/>
      <c r="H2" s="8"/>
    </row>
    <row r="3" ht="19.5" customHeight="1">
      <c r="B3" s="9" t="s">
        <v>4</v>
      </c>
      <c r="C3" s="10" t="s">
        <v>6</v>
      </c>
      <c r="E3" s="13" t="s">
        <v>7</v>
      </c>
      <c r="F3" s="15" t="s">
        <v>8</v>
      </c>
      <c r="G3" s="15" t="s">
        <v>9</v>
      </c>
      <c r="H3" s="17" t="s">
        <v>10</v>
      </c>
    </row>
    <row r="4" ht="28.5" customHeight="1">
      <c r="B4" s="9" t="s">
        <v>11</v>
      </c>
      <c r="C4" s="10" t="s">
        <v>12</v>
      </c>
      <c r="E4" s="23">
        <f>COUNTA(A14:A21)</f>
        <v>8</v>
      </c>
      <c r="F4" s="25">
        <v>6.0</v>
      </c>
      <c r="G4" s="27">
        <v>2.0</v>
      </c>
      <c r="H4" s="32">
        <f>IF(COUNTA(A14:A21)=0, 0, COUNTIF(H14:H21, "&lt;&gt;Not Executed")/COUNTA(A14:A21))</f>
        <v>1</v>
      </c>
    </row>
    <row r="5" ht="19.5" customHeight="1">
      <c r="B5" s="9" t="s">
        <v>15</v>
      </c>
      <c r="C5" s="10" t="s">
        <v>16</v>
      </c>
      <c r="E5" s="13" t="s">
        <v>17</v>
      </c>
      <c r="F5" s="15" t="s">
        <v>18</v>
      </c>
      <c r="G5" s="15" t="s">
        <v>19</v>
      </c>
      <c r="H5" s="17" t="s">
        <v>20</v>
      </c>
    </row>
    <row r="6" ht="25.5" customHeight="1">
      <c r="B6" s="9" t="s">
        <v>21</v>
      </c>
      <c r="C6" s="10" t="s">
        <v>22</v>
      </c>
      <c r="E6" s="33">
        <f>COUNTIF(H14:H21, "Blocked")</f>
        <v>0</v>
      </c>
      <c r="F6" s="35">
        <f>COUNTIF(H14:H21, "Not Executed")</f>
        <v>0</v>
      </c>
      <c r="G6" s="36">
        <v>0.75</v>
      </c>
      <c r="H6" s="39" t="str">
        <f>IF(H4=1, "Completed", IF(H4&gt;0, "In Progress", "Not Started"))</f>
        <v>Completed</v>
      </c>
    </row>
    <row r="7" ht="19.5" customHeight="1">
      <c r="B7" s="9" t="s">
        <v>23</v>
      </c>
      <c r="C7" s="10" t="s">
        <v>24</v>
      </c>
    </row>
    <row r="8" ht="19.5" customHeight="1">
      <c r="B8" s="9" t="s">
        <v>25</v>
      </c>
      <c r="C8" s="10" t="s">
        <v>26</v>
      </c>
      <c r="E8" s="40"/>
    </row>
    <row r="9" ht="19.5" customHeight="1">
      <c r="B9" s="9" t="s">
        <v>27</v>
      </c>
      <c r="C9" s="10" t="s">
        <v>28</v>
      </c>
      <c r="E9" s="41"/>
    </row>
    <row r="10" ht="21.0" customHeight="1">
      <c r="B10" s="9" t="s">
        <v>29</v>
      </c>
      <c r="C10" s="10" t="s">
        <v>30</v>
      </c>
      <c r="E10" s="43"/>
      <c r="F10" s="44"/>
      <c r="G10" s="45"/>
      <c r="H10" s="44"/>
    </row>
    <row r="11" ht="21.0" customHeight="1">
      <c r="B11" s="46" t="s">
        <v>33</v>
      </c>
      <c r="C11" s="47"/>
      <c r="E11" s="48"/>
      <c r="F11" s="44"/>
      <c r="G11" s="49"/>
      <c r="H11" s="44"/>
    </row>
    <row r="12" ht="21.0" customHeight="1">
      <c r="E12" s="51"/>
    </row>
    <row r="13" ht="27.0" customHeight="1">
      <c r="A13" s="53" t="s">
        <v>34</v>
      </c>
      <c r="B13" s="54" t="s">
        <v>35</v>
      </c>
      <c r="C13" s="54" t="s">
        <v>36</v>
      </c>
      <c r="D13" s="55" t="s">
        <v>37</v>
      </c>
      <c r="E13" s="55" t="s">
        <v>29</v>
      </c>
      <c r="F13" s="55" t="s">
        <v>38</v>
      </c>
      <c r="G13" s="57" t="s">
        <v>39</v>
      </c>
      <c r="H13" s="58" t="s">
        <v>40</v>
      </c>
    </row>
    <row r="14" ht="25.5" customHeight="1">
      <c r="A14" s="60" t="s">
        <v>41</v>
      </c>
      <c r="B14" s="61" t="s">
        <v>42</v>
      </c>
      <c r="C14" s="63" t="s">
        <v>43</v>
      </c>
      <c r="D14" s="63" t="s">
        <v>45</v>
      </c>
      <c r="E14" s="63" t="s">
        <v>46</v>
      </c>
      <c r="F14" s="63" t="s">
        <v>47</v>
      </c>
      <c r="G14" s="65" t="s">
        <v>48</v>
      </c>
      <c r="H14" s="67" t="s">
        <v>50</v>
      </c>
    </row>
    <row r="15" ht="25.5" customHeight="1">
      <c r="A15" s="69" t="s">
        <v>52</v>
      </c>
      <c r="B15" s="72" t="s">
        <v>42</v>
      </c>
      <c r="C15" s="74" t="s">
        <v>53</v>
      </c>
      <c r="D15" s="74" t="s">
        <v>54</v>
      </c>
      <c r="E15" s="74" t="s">
        <v>55</v>
      </c>
      <c r="F15" s="74" t="s">
        <v>56</v>
      </c>
      <c r="G15" s="77" t="s">
        <v>48</v>
      </c>
      <c r="H15" s="79" t="s">
        <v>50</v>
      </c>
    </row>
    <row r="16" ht="25.5" customHeight="1">
      <c r="A16" s="60" t="s">
        <v>57</v>
      </c>
      <c r="B16" s="61" t="s">
        <v>58</v>
      </c>
      <c r="C16" s="63" t="s">
        <v>59</v>
      </c>
      <c r="D16" s="63" t="s">
        <v>60</v>
      </c>
      <c r="E16" s="63" t="s">
        <v>61</v>
      </c>
      <c r="F16" s="63" t="s">
        <v>62</v>
      </c>
      <c r="G16" s="65" t="s">
        <v>48</v>
      </c>
      <c r="H16" s="67" t="s">
        <v>50</v>
      </c>
    </row>
    <row r="17" ht="25.5" customHeight="1">
      <c r="A17" s="69" t="s">
        <v>63</v>
      </c>
      <c r="B17" s="72" t="s">
        <v>58</v>
      </c>
      <c r="C17" s="74" t="s">
        <v>64</v>
      </c>
      <c r="D17" s="74" t="s">
        <v>65</v>
      </c>
      <c r="E17" s="74" t="s">
        <v>66</v>
      </c>
      <c r="F17" s="74" t="s">
        <v>67</v>
      </c>
      <c r="G17" s="77" t="s">
        <v>68</v>
      </c>
      <c r="H17" s="79" t="s">
        <v>50</v>
      </c>
    </row>
    <row r="18" ht="25.5" customHeight="1">
      <c r="A18" s="60" t="s">
        <v>69</v>
      </c>
      <c r="B18" s="61" t="s">
        <v>70</v>
      </c>
      <c r="C18" s="63" t="s">
        <v>71</v>
      </c>
      <c r="D18" s="63" t="s">
        <v>72</v>
      </c>
      <c r="E18" s="63" t="s">
        <v>61</v>
      </c>
      <c r="F18" s="63" t="s">
        <v>73</v>
      </c>
      <c r="G18" s="65" t="s">
        <v>48</v>
      </c>
      <c r="H18" s="67" t="s">
        <v>50</v>
      </c>
    </row>
    <row r="19" ht="25.5" customHeight="1">
      <c r="A19" s="69" t="s">
        <v>74</v>
      </c>
      <c r="B19" s="72" t="s">
        <v>75</v>
      </c>
      <c r="C19" s="74" t="s">
        <v>76</v>
      </c>
      <c r="D19" s="74" t="s">
        <v>77</v>
      </c>
      <c r="E19" s="74" t="s">
        <v>78</v>
      </c>
      <c r="F19" s="74" t="s">
        <v>79</v>
      </c>
      <c r="G19" s="77" t="s">
        <v>48</v>
      </c>
      <c r="H19" s="79" t="s">
        <v>50</v>
      </c>
    </row>
    <row r="20" ht="25.5" customHeight="1">
      <c r="A20" s="60" t="s">
        <v>80</v>
      </c>
      <c r="B20" s="61" t="s">
        <v>81</v>
      </c>
      <c r="C20" s="63" t="s">
        <v>82</v>
      </c>
      <c r="D20" s="63" t="s">
        <v>83</v>
      </c>
      <c r="E20" s="63" t="s">
        <v>84</v>
      </c>
      <c r="F20" s="63" t="s">
        <v>85</v>
      </c>
      <c r="G20" s="65" t="s">
        <v>86</v>
      </c>
      <c r="H20" s="67" t="s">
        <v>87</v>
      </c>
    </row>
    <row r="21" ht="25.5" customHeight="1">
      <c r="A21" s="86" t="s">
        <v>88</v>
      </c>
      <c r="B21" s="88" t="s">
        <v>89</v>
      </c>
      <c r="C21" s="90" t="s">
        <v>90</v>
      </c>
      <c r="D21" s="90" t="s">
        <v>91</v>
      </c>
      <c r="E21" s="90" t="s">
        <v>92</v>
      </c>
      <c r="F21" s="90" t="s">
        <v>93</v>
      </c>
      <c r="G21" s="92" t="s">
        <v>48</v>
      </c>
      <c r="H21" s="94" t="s">
        <v>50</v>
      </c>
    </row>
  </sheetData>
  <mergeCells count="5">
    <mergeCell ref="E2:H2"/>
    <mergeCell ref="E8:H8"/>
    <mergeCell ref="E9:H9"/>
    <mergeCell ref="E12:H12"/>
    <mergeCell ref="B1:H1"/>
  </mergeCells>
  <dataValidations>
    <dataValidation type="list" allowBlank="1" sqref="G14:G21">
      <formula1>"Done as expected,Issue observed,Pending,Other result observed"</formula1>
    </dataValidation>
    <dataValidation type="list" allowBlank="1" sqref="H14:H21">
      <formula1>"Passed,Failed,Blocked,Not Executed"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8.25"/>
    <col customWidth="1" min="3" max="3" width="32.63"/>
    <col customWidth="1" min="4" max="4" width="42.63"/>
    <col customWidth="1" min="5" max="5" width="15.75"/>
    <col customWidth="1" min="6" max="6" width="33.88"/>
    <col customWidth="1" min="7" max="7" width="18.25"/>
    <col customWidth="1" min="8" max="8" width="20.75"/>
  </cols>
  <sheetData>
    <row r="1" ht="31.5" customHeight="1">
      <c r="A1" s="11" t="s">
        <v>5</v>
      </c>
      <c r="B1" s="12"/>
      <c r="C1" s="12"/>
      <c r="D1" s="12"/>
      <c r="E1" s="12"/>
      <c r="F1" s="12"/>
      <c r="G1" s="12"/>
      <c r="H1" s="14"/>
    </row>
    <row r="2" ht="21.0" customHeight="1">
      <c r="A2" s="16" t="s">
        <v>1</v>
      </c>
      <c r="B2" s="18" t="s">
        <v>2</v>
      </c>
      <c r="C2" s="19"/>
      <c r="D2" s="20"/>
      <c r="E2" s="21" t="s">
        <v>3</v>
      </c>
      <c r="F2" s="19"/>
      <c r="G2" s="19"/>
      <c r="H2" s="20"/>
    </row>
    <row r="3" ht="18.0" customHeight="1">
      <c r="A3" s="22" t="s">
        <v>4</v>
      </c>
      <c r="B3" s="24" t="s">
        <v>13</v>
      </c>
      <c r="C3" s="26"/>
      <c r="D3" s="28"/>
      <c r="E3" s="29" t="s">
        <v>7</v>
      </c>
      <c r="F3" s="30" t="s">
        <v>8</v>
      </c>
      <c r="G3" s="30" t="s">
        <v>9</v>
      </c>
      <c r="H3" s="31" t="s">
        <v>10</v>
      </c>
    </row>
    <row r="4" ht="24.0" customHeight="1">
      <c r="A4" s="22" t="s">
        <v>11</v>
      </c>
      <c r="B4" s="24" t="s">
        <v>14</v>
      </c>
      <c r="C4" s="26"/>
      <c r="D4" s="28"/>
      <c r="E4" s="34">
        <f>COUNTA(A14:A23)</f>
        <v>10</v>
      </c>
      <c r="F4" s="37">
        <f>COUNTIF(H14:H23, "Passed")</f>
        <v>1</v>
      </c>
      <c r="G4" s="38">
        <f>COUNTIF(H14:H23, "Failed")</f>
        <v>1</v>
      </c>
      <c r="H4" s="42">
        <f>IF(COUNTA(A14:A23)=0, 0, COUNTIF(H14:H23, "&lt;&gt;Not Executed")/COUNTA(A14:A23))</f>
        <v>0.2</v>
      </c>
    </row>
    <row r="5" ht="18.0" customHeight="1">
      <c r="A5" s="22" t="s">
        <v>15</v>
      </c>
      <c r="B5" s="24" t="s">
        <v>31</v>
      </c>
      <c r="C5" s="26"/>
      <c r="D5" s="28"/>
      <c r="E5" s="29" t="s">
        <v>17</v>
      </c>
      <c r="F5" s="30" t="s">
        <v>18</v>
      </c>
      <c r="G5" s="30" t="s">
        <v>19</v>
      </c>
      <c r="H5" s="31" t="s">
        <v>20</v>
      </c>
    </row>
    <row r="6" ht="24.0" customHeight="1">
      <c r="A6" s="22" t="s">
        <v>21</v>
      </c>
      <c r="B6" s="24" t="s">
        <v>32</v>
      </c>
      <c r="C6" s="26"/>
      <c r="D6" s="28"/>
      <c r="E6" s="50">
        <f>COUNTIF(H14:H23, "Blocked")</f>
        <v>0</v>
      </c>
      <c r="F6" s="52">
        <f>COUNTIF(H14:H23, "Not Executed")</f>
        <v>8</v>
      </c>
      <c r="G6" s="56">
        <f>IFERROR(COUNTIF(H14:H23, "Passed")/(COUNTIF(H14:H23, "Passed")+COUNTIF(H14:H23, "Failed")), 0)</f>
        <v>0.5</v>
      </c>
      <c r="H6" s="59" t="str">
        <f>IF(H4=1, "Completed", IF(H4&gt;0, "In Progress", "Not Started"))</f>
        <v>In Progress</v>
      </c>
    </row>
    <row r="7" ht="21.0" customHeight="1">
      <c r="A7" s="22" t="s">
        <v>23</v>
      </c>
      <c r="B7" s="24" t="s">
        <v>24</v>
      </c>
      <c r="C7" s="26"/>
      <c r="D7" s="28"/>
      <c r="E7" s="62"/>
      <c r="F7" s="62"/>
      <c r="G7" s="62"/>
      <c r="H7" s="62"/>
    </row>
    <row r="8" ht="21.0" customHeight="1">
      <c r="A8" s="22" t="s">
        <v>25</v>
      </c>
      <c r="B8" s="24" t="s">
        <v>44</v>
      </c>
      <c r="C8" s="26"/>
      <c r="D8" s="28"/>
      <c r="E8" s="64"/>
    </row>
    <row r="9" ht="19.5" customHeight="1">
      <c r="A9" s="22" t="s">
        <v>27</v>
      </c>
      <c r="B9" s="24" t="s">
        <v>49</v>
      </c>
      <c r="C9" s="26"/>
      <c r="D9" s="28"/>
      <c r="E9" s="66"/>
    </row>
    <row r="10" ht="19.5" customHeight="1">
      <c r="A10" s="22" t="s">
        <v>29</v>
      </c>
      <c r="B10" s="24" t="s">
        <v>51</v>
      </c>
      <c r="C10" s="26"/>
      <c r="D10" s="28"/>
      <c r="E10" s="68"/>
      <c r="F10" s="70"/>
      <c r="G10" s="71"/>
      <c r="H10" s="70"/>
    </row>
    <row r="11" ht="19.5" customHeight="1">
      <c r="A11" s="73" t="s">
        <v>33</v>
      </c>
      <c r="B11" s="75"/>
      <c r="C11" s="76"/>
      <c r="D11" s="78"/>
      <c r="E11" s="80"/>
      <c r="F11" s="70"/>
      <c r="G11" s="81"/>
      <c r="H11" s="70"/>
    </row>
    <row r="12" ht="18.0" customHeight="1">
      <c r="A12" s="82"/>
      <c r="B12" s="82"/>
      <c r="C12" s="82"/>
      <c r="D12" s="82"/>
      <c r="E12" s="83"/>
    </row>
    <row r="13" ht="24.0" customHeight="1">
      <c r="A13" s="84" t="s">
        <v>34</v>
      </c>
      <c r="B13" s="85" t="s">
        <v>35</v>
      </c>
      <c r="C13" s="85" t="s">
        <v>36</v>
      </c>
      <c r="D13" s="85" t="s">
        <v>37</v>
      </c>
      <c r="E13" s="87" t="s">
        <v>29</v>
      </c>
      <c r="F13" s="87" t="s">
        <v>38</v>
      </c>
      <c r="G13" s="89" t="s">
        <v>39</v>
      </c>
      <c r="H13" s="91" t="s">
        <v>40</v>
      </c>
    </row>
    <row r="14" ht="27.0" customHeight="1">
      <c r="A14" s="93" t="s">
        <v>41</v>
      </c>
      <c r="B14" s="95" t="s">
        <v>94</v>
      </c>
      <c r="C14" s="96" t="s">
        <v>95</v>
      </c>
      <c r="D14" s="97" t="s">
        <v>96</v>
      </c>
      <c r="E14" s="98" t="s">
        <v>46</v>
      </c>
      <c r="F14" s="97" t="s">
        <v>97</v>
      </c>
      <c r="G14" s="99" t="s">
        <v>48</v>
      </c>
      <c r="H14" s="100" t="s">
        <v>50</v>
      </c>
    </row>
    <row r="15" ht="27.0" customHeight="1">
      <c r="A15" s="93" t="s">
        <v>52</v>
      </c>
      <c r="B15" s="95" t="s">
        <v>94</v>
      </c>
      <c r="C15" s="96" t="s">
        <v>98</v>
      </c>
      <c r="D15" s="97" t="s">
        <v>99</v>
      </c>
      <c r="E15" s="98" t="s">
        <v>55</v>
      </c>
      <c r="F15" s="97" t="s">
        <v>100</v>
      </c>
      <c r="G15" s="99" t="s">
        <v>101</v>
      </c>
      <c r="H15" s="100" t="s">
        <v>102</v>
      </c>
    </row>
    <row r="16" ht="27.0" customHeight="1">
      <c r="A16" s="93" t="s">
        <v>57</v>
      </c>
      <c r="B16" s="95" t="s">
        <v>103</v>
      </c>
      <c r="C16" s="96" t="s">
        <v>104</v>
      </c>
      <c r="D16" s="97" t="s">
        <v>105</v>
      </c>
      <c r="E16" s="98" t="s">
        <v>61</v>
      </c>
      <c r="F16" s="97" t="s">
        <v>106</v>
      </c>
      <c r="G16" s="99" t="s">
        <v>86</v>
      </c>
      <c r="H16" s="100" t="s">
        <v>87</v>
      </c>
    </row>
    <row r="17" ht="27.0" customHeight="1">
      <c r="A17" s="93" t="s">
        <v>63</v>
      </c>
      <c r="B17" s="95" t="s">
        <v>103</v>
      </c>
      <c r="C17" s="96" t="s">
        <v>107</v>
      </c>
      <c r="D17" s="97" t="s">
        <v>108</v>
      </c>
      <c r="E17" s="98" t="s">
        <v>66</v>
      </c>
      <c r="F17" s="97" t="s">
        <v>109</v>
      </c>
      <c r="G17" s="99" t="s">
        <v>101</v>
      </c>
      <c r="H17" s="100" t="s">
        <v>102</v>
      </c>
    </row>
    <row r="18" ht="27.0" customHeight="1">
      <c r="A18" s="93" t="s">
        <v>69</v>
      </c>
      <c r="B18" s="95" t="s">
        <v>110</v>
      </c>
      <c r="C18" s="96" t="s">
        <v>111</v>
      </c>
      <c r="D18" s="97" t="s">
        <v>112</v>
      </c>
      <c r="E18" s="98" t="s">
        <v>113</v>
      </c>
      <c r="F18" s="97" t="s">
        <v>114</v>
      </c>
      <c r="G18" s="99" t="s">
        <v>101</v>
      </c>
      <c r="H18" s="100" t="s">
        <v>102</v>
      </c>
    </row>
    <row r="19" ht="27.0" customHeight="1">
      <c r="A19" s="93" t="s">
        <v>74</v>
      </c>
      <c r="B19" s="95" t="s">
        <v>115</v>
      </c>
      <c r="C19" s="96" t="s">
        <v>116</v>
      </c>
      <c r="D19" s="97" t="s">
        <v>117</v>
      </c>
      <c r="E19" s="98" t="s">
        <v>118</v>
      </c>
      <c r="F19" s="97" t="s">
        <v>119</v>
      </c>
      <c r="G19" s="99" t="s">
        <v>101</v>
      </c>
      <c r="H19" s="100" t="s">
        <v>102</v>
      </c>
    </row>
    <row r="20" ht="27.0" customHeight="1">
      <c r="A20" s="93" t="s">
        <v>80</v>
      </c>
      <c r="B20" s="95" t="s">
        <v>115</v>
      </c>
      <c r="C20" s="96" t="s">
        <v>120</v>
      </c>
      <c r="D20" s="97" t="s">
        <v>121</v>
      </c>
      <c r="E20" s="98" t="s">
        <v>122</v>
      </c>
      <c r="F20" s="97" t="s">
        <v>123</v>
      </c>
      <c r="G20" s="99" t="s">
        <v>101</v>
      </c>
      <c r="H20" s="100" t="s">
        <v>102</v>
      </c>
    </row>
    <row r="21" ht="27.0" customHeight="1">
      <c r="A21" s="93" t="s">
        <v>88</v>
      </c>
      <c r="B21" s="95" t="s">
        <v>124</v>
      </c>
      <c r="C21" s="96" t="s">
        <v>125</v>
      </c>
      <c r="D21" s="97" t="s">
        <v>126</v>
      </c>
      <c r="E21" s="98" t="s">
        <v>127</v>
      </c>
      <c r="F21" s="97" t="s">
        <v>128</v>
      </c>
      <c r="G21" s="99" t="s">
        <v>101</v>
      </c>
      <c r="H21" s="100" t="s">
        <v>102</v>
      </c>
    </row>
    <row r="22" ht="27.0" customHeight="1">
      <c r="A22" s="93" t="s">
        <v>129</v>
      </c>
      <c r="B22" s="95" t="s">
        <v>130</v>
      </c>
      <c r="C22" s="96" t="s">
        <v>131</v>
      </c>
      <c r="D22" s="97" t="s">
        <v>132</v>
      </c>
      <c r="E22" s="98" t="s">
        <v>133</v>
      </c>
      <c r="F22" s="97" t="s">
        <v>134</v>
      </c>
      <c r="G22" s="99" t="s">
        <v>101</v>
      </c>
      <c r="H22" s="100" t="s">
        <v>102</v>
      </c>
    </row>
    <row r="23" ht="27.0" customHeight="1">
      <c r="A23" s="101" t="s">
        <v>135</v>
      </c>
      <c r="B23" s="102" t="s">
        <v>136</v>
      </c>
      <c r="C23" s="103" t="s">
        <v>137</v>
      </c>
      <c r="D23" s="104" t="s">
        <v>138</v>
      </c>
      <c r="E23" s="105" t="s">
        <v>139</v>
      </c>
      <c r="F23" s="104" t="s">
        <v>140</v>
      </c>
      <c r="G23" s="106" t="s">
        <v>101</v>
      </c>
      <c r="H23" s="107" t="s">
        <v>102</v>
      </c>
    </row>
  </sheetData>
  <mergeCells count="15">
    <mergeCell ref="B7:D7"/>
    <mergeCell ref="B8:D8"/>
    <mergeCell ref="E8:H8"/>
    <mergeCell ref="B9:D9"/>
    <mergeCell ref="E9:H9"/>
    <mergeCell ref="B10:D10"/>
    <mergeCell ref="B11:D11"/>
    <mergeCell ref="E12:H12"/>
    <mergeCell ref="A1:H1"/>
    <mergeCell ref="B2:D2"/>
    <mergeCell ref="E2:H2"/>
    <mergeCell ref="B3:D3"/>
    <mergeCell ref="B4:D4"/>
    <mergeCell ref="B5:D5"/>
    <mergeCell ref="B6:D6"/>
  </mergeCells>
  <dataValidations>
    <dataValidation type="list" allowBlank="1" sqref="H14:H23">
      <formula1>"Passed,Failed,Blocked,Not Executed"</formula1>
    </dataValidation>
    <dataValidation type="list" allowBlank="1" sqref="G14:G23">
      <formula1>"Done as expected,Issue observed,Pending"</formula1>
    </dataValidation>
  </dataValidations>
  <drawing r:id="rId2"/>
  <legacyDrawing r:id="rId3"/>
  <tableParts count="1">
    <tablePart r:id="rId5"/>
  </tableParts>
</worksheet>
</file>